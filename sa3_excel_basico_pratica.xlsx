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pe_\Downloads\"/>
    </mc:Choice>
  </mc:AlternateContent>
  <xr:revisionPtr revIDLastSave="0" documentId="13_ncr:1_{411B2E92-B055-4494-ADEE-CB0F8FFD25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3_Prática" sheetId="1" r:id="rId1"/>
    <sheet name="Instruções" sheetId="2" state="hidden" r:id="rId2"/>
    <sheet name="Resposta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H10" i="3" s="1"/>
  <c r="F10" i="3"/>
  <c r="G9" i="3"/>
  <c r="H9" i="3" s="1"/>
  <c r="F9" i="3"/>
  <c r="F8" i="3"/>
  <c r="G7" i="3"/>
  <c r="F7" i="3"/>
  <c r="H7" i="3" s="1"/>
  <c r="G6" i="3"/>
  <c r="F6" i="3"/>
  <c r="H6" i="3" s="1"/>
  <c r="G5" i="3"/>
  <c r="F5" i="3"/>
  <c r="H5" i="3" s="1"/>
  <c r="G4" i="3"/>
  <c r="F4" i="3"/>
  <c r="H4" i="3" s="1"/>
  <c r="G3" i="3"/>
  <c r="H3" i="3" s="1"/>
  <c r="F3" i="3"/>
  <c r="F12" i="3" s="1"/>
  <c r="K4" i="3" l="1"/>
  <c r="J4" i="3"/>
  <c r="I4" i="3"/>
  <c r="K9" i="3"/>
  <c r="J9" i="3"/>
  <c r="I9" i="3"/>
  <c r="F16" i="3"/>
  <c r="K3" i="3"/>
  <c r="J3" i="3"/>
  <c r="I3" i="3"/>
  <c r="J5" i="3"/>
  <c r="I5" i="3"/>
  <c r="K5" i="3"/>
  <c r="K6" i="3"/>
  <c r="J6" i="3"/>
  <c r="I6" i="3"/>
  <c r="K7" i="3"/>
  <c r="J7" i="3"/>
  <c r="I7" i="3"/>
  <c r="K10" i="3"/>
  <c r="J10" i="3"/>
  <c r="I10" i="3"/>
  <c r="G8" i="3"/>
  <c r="F13" i="3" s="1"/>
  <c r="H8" i="3" l="1"/>
  <c r="K8" i="3" l="1"/>
  <c r="J8" i="3"/>
  <c r="I8" i="3"/>
  <c r="F15" i="3"/>
  <c r="F14" i="3"/>
</calcChain>
</file>

<file path=xl/sharedStrings.xml><?xml version="1.0" encoding="utf-8"?>
<sst xmlns="http://schemas.openxmlformats.org/spreadsheetml/2006/main" count="75" uniqueCount="39">
  <si>
    <t>SA 3 – Cálculos e Funções Matemáticas Essenciais</t>
  </si>
  <si>
    <t>Preencha apenas as células em azul. As demais células podem ser conferidas pelo professor na aba Respostas.</t>
  </si>
  <si>
    <t>Item</t>
  </si>
  <si>
    <t>Categoria</t>
  </si>
  <si>
    <t>Quantidade</t>
  </si>
  <si>
    <t>Valor Unitário</t>
  </si>
  <si>
    <t>Subtotal</t>
  </si>
  <si>
    <t>Desconto</t>
  </si>
  <si>
    <t>Total com Desconto</t>
  </si>
  <si>
    <t>Valor Arredondado</t>
  </si>
  <si>
    <t>Arred. para Cima</t>
  </si>
  <si>
    <t>Arred. para Baixo</t>
  </si>
  <si>
    <t>Caderno</t>
  </si>
  <si>
    <t>Papelaria</t>
  </si>
  <si>
    <t>Caneta</t>
  </si>
  <si>
    <t>Borracha</t>
  </si>
  <si>
    <t>Mouse</t>
  </si>
  <si>
    <t>Informática</t>
  </si>
  <si>
    <t>Teclado</t>
  </si>
  <si>
    <t>Pendrive</t>
  </si>
  <si>
    <t>Agenda</t>
  </si>
  <si>
    <t>Calculadora</t>
  </si>
  <si>
    <t>Eletrônicos</t>
  </si>
  <si>
    <t>Total Subtotal</t>
  </si>
  <si>
    <t>Total Desconto</t>
  </si>
  <si>
    <t>Total Líquido</t>
  </si>
  <si>
    <t>Média do Total Líquido</t>
  </si>
  <si>
    <t>Total Papelaria (SOMASE)</t>
  </si>
  <si>
    <t>Planilha de prática – SA 3: Cálculos e Funções Matemáticas Essenciais</t>
  </si>
  <si>
    <t>Objetivo: praticar fórmulas manuais, prioridade dos operadores, Autosoma e funções matemáticas básicas do Excel.</t>
  </si>
  <si>
    <t>Tarefas</t>
  </si>
  <si>
    <t>1. Na aba SA3_Prática, complete a coluna J (Subtotal) usando a fórmula Quantidade x Valor Unitário.</t>
  </si>
  <si>
    <t>2. Complete a coluna K (Desconto) usando a regra: se a quantidade for maior ou igual a 10, desconto de 8%; caso contrário, 0%.</t>
  </si>
  <si>
    <t>3. Complete a coluna L (Total com Desconto) usando a prioridade correta dos operadores.</t>
  </si>
  <si>
    <t>4. Complete a coluna M (Valor Arredondado) usando ARRED para 2 casas decimais.</t>
  </si>
  <si>
    <t>5. Complete a coluna N (Arred. para Cima) usando ARREDONDAR.PARA.CIMA para 0 casas.</t>
  </si>
  <si>
    <t>6. Complete a coluna O (Arred. para Baixo) usando ARREDONDAR.PARA.BAIXO para 0 casas.</t>
  </si>
  <si>
    <t>7. No final da tabela, calcule os totais com SOMA e a média com MÉDIA.</t>
  </si>
  <si>
    <t>8. Use SOMASE para calcular o total de vendas da categoria Papelaria.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</si>
</sst>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left" vertical="center" wrapText="1"/>
    </xf>
    <xf numFmtId="4" fontId="4" fillId="4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4" fontId="5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SA3" displayName="TabelaSA3" ref="B5:K10">
  <autoFilter ref="B5:K10" xr:uid="{00000000-0009-0000-0100-000001000000}"/>
  <tableColumns count="10">
    <tableColumn id="2" xr3:uid="{00000000-0010-0000-0000-000002000000}" name="Item"/>
    <tableColumn id="3" xr3:uid="{00000000-0010-0000-0000-000003000000}" name="Categoria"/>
    <tableColumn id="4" xr3:uid="{00000000-0010-0000-0000-000004000000}" name="Quantidade"/>
    <tableColumn id="5" xr3:uid="{00000000-0010-0000-0000-000005000000}" name="Valor Unitário"/>
    <tableColumn id="6" xr3:uid="{00000000-0010-0000-0000-000006000000}" name="Subtotal"/>
    <tableColumn id="7" xr3:uid="{00000000-0010-0000-0000-000007000000}" name="Desconto"/>
    <tableColumn id="8" xr3:uid="{00000000-0010-0000-0000-000008000000}" name="Total com Desconto"/>
    <tableColumn id="9" xr3:uid="{00000000-0010-0000-0000-000009000000}" name="Valor Arredondado"/>
    <tableColumn id="10" xr3:uid="{00000000-0010-0000-0000-00000A000000}" name="Arred. para Cima"/>
    <tableColumn id="11" xr3:uid="{00000000-0010-0000-0000-00000B000000}" name="Arred. para Baix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9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8" customWidth="1"/>
    <col min="3" max="3" width="16" customWidth="1"/>
    <col min="4" max="4" width="12" customWidth="1"/>
    <col min="5" max="6" width="14" customWidth="1"/>
    <col min="7" max="7" width="12" customWidth="1"/>
    <col min="8" max="9" width="18" customWidth="1"/>
    <col min="10" max="11" width="16" customWidth="1"/>
  </cols>
  <sheetData>
    <row r="2" spans="2:15" x14ac:dyDescent="0.3">
      <c r="B2" s="12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x14ac:dyDescent="0.3">
      <c r="B3" s="13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spans="2:15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2:15" x14ac:dyDescent="0.3">
      <c r="B6" s="2" t="s">
        <v>12</v>
      </c>
      <c r="C6" s="2" t="s">
        <v>13</v>
      </c>
      <c r="D6" s="3">
        <v>12</v>
      </c>
      <c r="E6" s="4">
        <v>18.899999999999999</v>
      </c>
      <c r="F6" s="5"/>
      <c r="G6" s="5"/>
      <c r="H6" s="5"/>
      <c r="I6" s="5"/>
      <c r="J6" s="5"/>
      <c r="K6" s="5"/>
    </row>
    <row r="7" spans="2:15" x14ac:dyDescent="0.3">
      <c r="B7" s="2" t="s">
        <v>14</v>
      </c>
      <c r="C7" s="2" t="s">
        <v>13</v>
      </c>
      <c r="D7" s="3">
        <v>25</v>
      </c>
      <c r="E7" s="4">
        <v>3.75</v>
      </c>
      <c r="F7" s="5"/>
      <c r="G7" s="5"/>
      <c r="H7" s="5"/>
      <c r="I7" s="5"/>
      <c r="J7" s="5"/>
      <c r="K7" s="5"/>
    </row>
    <row r="8" spans="2:15" x14ac:dyDescent="0.3">
      <c r="B8" s="2" t="s">
        <v>15</v>
      </c>
      <c r="C8" s="2" t="s">
        <v>13</v>
      </c>
      <c r="D8" s="3">
        <v>8</v>
      </c>
      <c r="E8" s="4">
        <v>2.4</v>
      </c>
      <c r="F8" s="5"/>
      <c r="G8" s="5"/>
      <c r="H8" s="5"/>
      <c r="I8" s="5"/>
      <c r="J8" s="5"/>
      <c r="K8" s="5"/>
    </row>
    <row r="9" spans="2:15" x14ac:dyDescent="0.3">
      <c r="B9" s="2" t="s">
        <v>16</v>
      </c>
      <c r="C9" s="2" t="s">
        <v>17</v>
      </c>
      <c r="D9" s="3">
        <v>5</v>
      </c>
      <c r="E9" s="4">
        <v>45.99</v>
      </c>
      <c r="F9" s="5"/>
      <c r="G9" s="5"/>
      <c r="H9" s="5"/>
      <c r="I9" s="5"/>
      <c r="J9" s="5"/>
      <c r="K9" s="5"/>
    </row>
    <row r="10" spans="2:15" x14ac:dyDescent="0.3">
      <c r="B10" s="2" t="s">
        <v>18</v>
      </c>
      <c r="C10" s="2" t="s">
        <v>17</v>
      </c>
      <c r="D10" s="3">
        <v>3</v>
      </c>
      <c r="E10" s="4">
        <v>89.5</v>
      </c>
      <c r="F10" s="5"/>
      <c r="G10" s="5"/>
      <c r="H10" s="5"/>
      <c r="I10" s="5"/>
      <c r="J10" s="5"/>
      <c r="K10" s="5"/>
    </row>
    <row r="11" spans="2:15" x14ac:dyDescent="0.3">
      <c r="B11" s="2" t="s">
        <v>19</v>
      </c>
      <c r="C11" s="2" t="s">
        <v>17</v>
      </c>
      <c r="D11" s="3">
        <v>14</v>
      </c>
      <c r="E11" s="4">
        <v>27.35</v>
      </c>
      <c r="F11" s="5"/>
      <c r="G11" s="5"/>
      <c r="H11" s="5"/>
      <c r="I11" s="5"/>
      <c r="J11" s="5"/>
      <c r="K11" s="5"/>
    </row>
    <row r="12" spans="2:15" x14ac:dyDescent="0.3">
      <c r="B12" s="2" t="s">
        <v>20</v>
      </c>
      <c r="C12" s="2" t="s">
        <v>13</v>
      </c>
      <c r="D12" s="3">
        <v>10</v>
      </c>
      <c r="E12" s="4">
        <v>22.8</v>
      </c>
      <c r="F12" s="5"/>
      <c r="G12" s="5"/>
      <c r="H12" s="5"/>
      <c r="I12" s="5"/>
      <c r="J12" s="5"/>
      <c r="K12" s="5"/>
    </row>
    <row r="13" spans="2:15" x14ac:dyDescent="0.3">
      <c r="B13" s="2" t="s">
        <v>21</v>
      </c>
      <c r="C13" s="2" t="s">
        <v>22</v>
      </c>
      <c r="D13" s="3">
        <v>4</v>
      </c>
      <c r="E13" s="4">
        <v>55.6</v>
      </c>
      <c r="F13" s="5"/>
      <c r="G13" s="5"/>
      <c r="H13" s="5"/>
      <c r="I13" s="5"/>
      <c r="J13" s="5"/>
      <c r="K13" s="5"/>
    </row>
    <row r="15" spans="2:15" x14ac:dyDescent="0.3">
      <c r="B15" s="10" t="s">
        <v>23</v>
      </c>
      <c r="C15" s="11"/>
      <c r="D15" s="11"/>
      <c r="E15" s="11"/>
      <c r="F15" s="5"/>
    </row>
    <row r="16" spans="2:15" x14ac:dyDescent="0.3">
      <c r="B16" s="10" t="s">
        <v>24</v>
      </c>
      <c r="C16" s="11"/>
      <c r="D16" s="11"/>
      <c r="E16" s="11"/>
      <c r="F16" s="5"/>
    </row>
    <row r="17" spans="2:6" x14ac:dyDescent="0.3">
      <c r="B17" s="10" t="s">
        <v>25</v>
      </c>
      <c r="C17" s="11"/>
      <c r="D17" s="11"/>
      <c r="E17" s="11"/>
      <c r="F17" s="5"/>
    </row>
    <row r="18" spans="2:6" x14ac:dyDescent="0.3">
      <c r="B18" s="10" t="s">
        <v>26</v>
      </c>
      <c r="C18" s="11"/>
      <c r="D18" s="11"/>
      <c r="E18" s="11"/>
      <c r="F18" s="5"/>
    </row>
    <row r="19" spans="2:6" x14ac:dyDescent="0.3">
      <c r="B19" s="10" t="s">
        <v>27</v>
      </c>
      <c r="C19" s="11"/>
      <c r="D19" s="11"/>
      <c r="E19" s="11"/>
      <c r="F19" s="5"/>
    </row>
  </sheetData>
  <mergeCells count="7">
    <mergeCell ref="B19:E19"/>
    <mergeCell ref="B17:E17"/>
    <mergeCell ref="B18:E18"/>
    <mergeCell ref="B2:O2"/>
    <mergeCell ref="B16:E16"/>
    <mergeCell ref="B15:E15"/>
    <mergeCell ref="B3:O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workbookViewId="0"/>
  </sheetViews>
  <sheetFormatPr defaultRowHeight="14.4" x14ac:dyDescent="0.3"/>
  <cols>
    <col min="1" max="1" width="3" customWidth="1"/>
    <col min="2" max="2" width="20" customWidth="1"/>
    <col min="3" max="8" width="16" customWidth="1"/>
  </cols>
  <sheetData>
    <row r="2" spans="2:8" x14ac:dyDescent="0.3">
      <c r="B2" s="12" t="s">
        <v>28</v>
      </c>
      <c r="C2" s="11"/>
      <c r="D2" s="11"/>
      <c r="E2" s="11"/>
      <c r="F2" s="11"/>
      <c r="G2" s="11"/>
      <c r="H2" s="11"/>
    </row>
    <row r="4" spans="2:8" x14ac:dyDescent="0.3">
      <c r="B4" s="13" t="s">
        <v>29</v>
      </c>
      <c r="C4" s="11"/>
      <c r="D4" s="11"/>
      <c r="E4" s="11"/>
      <c r="F4" s="11"/>
      <c r="G4" s="11"/>
      <c r="H4" s="11"/>
    </row>
    <row r="6" spans="2:8" x14ac:dyDescent="0.3">
      <c r="B6" s="6" t="s">
        <v>30</v>
      </c>
    </row>
    <row r="7" spans="2:8" x14ac:dyDescent="0.3">
      <c r="B7" s="13" t="s">
        <v>31</v>
      </c>
      <c r="C7" s="11"/>
      <c r="D7" s="11"/>
      <c r="E7" s="11"/>
      <c r="F7" s="11"/>
      <c r="G7" s="11"/>
      <c r="H7" s="11"/>
    </row>
    <row r="8" spans="2:8" x14ac:dyDescent="0.3">
      <c r="B8" s="13" t="s">
        <v>32</v>
      </c>
      <c r="C8" s="11"/>
      <c r="D8" s="11"/>
      <c r="E8" s="11"/>
      <c r="F8" s="11"/>
      <c r="G8" s="11"/>
      <c r="H8" s="11"/>
    </row>
    <row r="9" spans="2:8" x14ac:dyDescent="0.3">
      <c r="B9" s="13" t="s">
        <v>33</v>
      </c>
      <c r="C9" s="11"/>
      <c r="D9" s="11"/>
      <c r="E9" s="11"/>
      <c r="F9" s="11"/>
      <c r="G9" s="11"/>
      <c r="H9" s="11"/>
    </row>
    <row r="10" spans="2:8" x14ac:dyDescent="0.3">
      <c r="B10" s="13" t="s">
        <v>34</v>
      </c>
      <c r="C10" s="11"/>
      <c r="D10" s="11"/>
      <c r="E10" s="11"/>
      <c r="F10" s="11"/>
      <c r="G10" s="11"/>
      <c r="H10" s="11"/>
    </row>
    <row r="11" spans="2:8" x14ac:dyDescent="0.3">
      <c r="B11" s="13" t="s">
        <v>35</v>
      </c>
      <c r="C11" s="11"/>
      <c r="D11" s="11"/>
      <c r="E11" s="11"/>
      <c r="F11" s="11"/>
      <c r="G11" s="11"/>
      <c r="H11" s="11"/>
    </row>
    <row r="12" spans="2:8" x14ac:dyDescent="0.3">
      <c r="B12" s="13" t="s">
        <v>36</v>
      </c>
      <c r="C12" s="11"/>
      <c r="D12" s="11"/>
      <c r="E12" s="11"/>
      <c r="F12" s="11"/>
      <c r="G12" s="11"/>
      <c r="H12" s="11"/>
    </row>
    <row r="13" spans="2:8" x14ac:dyDescent="0.3">
      <c r="B13" s="13" t="s">
        <v>37</v>
      </c>
      <c r="C13" s="11"/>
      <c r="D13" s="11"/>
      <c r="E13" s="11"/>
      <c r="F13" s="11"/>
      <c r="G13" s="11"/>
      <c r="H13" s="11"/>
    </row>
    <row r="14" spans="2:8" x14ac:dyDescent="0.3">
      <c r="B14" s="13" t="s">
        <v>38</v>
      </c>
      <c r="C14" s="11"/>
      <c r="D14" s="11"/>
      <c r="E14" s="11"/>
      <c r="F14" s="11"/>
      <c r="G14" s="11"/>
      <c r="H14" s="11"/>
    </row>
  </sheetData>
  <sheetProtection algorithmName="SHA-512" hashValue="IU7UfaXOkITbHwP/cNxE5uGYvgZjFttLzq8UmoEB/luqpzit+BjYVnHHjSYh89+zGNNi6aL4e8i/rho2K4kIlg==" saltValue="Q7EzyglXTgBKbdRWrgTzRg==" spinCount="100000" sheet="1" formatCells="0" formatColumns="0" formatRows="0" insertColumns="0" insertRows="0" insertHyperlinks="0" deleteColumns="0" deleteRows="0" sort="0" autoFilter="0" pivotTables="0"/>
  <mergeCells count="10">
    <mergeCell ref="B2:H2"/>
    <mergeCell ref="B7:H7"/>
    <mergeCell ref="B10:H10"/>
    <mergeCell ref="B11:H11"/>
    <mergeCell ref="B8:H8"/>
    <mergeCell ref="B14:H14"/>
    <mergeCell ref="B9:H9"/>
    <mergeCell ref="B13:H13"/>
    <mergeCell ref="B4:H4"/>
    <mergeCell ref="B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</cols>
  <sheetData>
    <row r="2" spans="2:11" x14ac:dyDescent="0.3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2:11" x14ac:dyDescent="0.3">
      <c r="B3" s="7" t="s">
        <v>12</v>
      </c>
      <c r="C3" s="7" t="s">
        <v>13</v>
      </c>
      <c r="D3" s="8">
        <v>12</v>
      </c>
      <c r="E3" s="8">
        <v>18.899999999999999</v>
      </c>
      <c r="F3" s="9">
        <f t="shared" ref="F3:F10" si="0">D3*E3</f>
        <v>226.79999999999998</v>
      </c>
      <c r="G3" s="9">
        <f t="shared" ref="G3:G10" si="1">IF(D3&gt;=10,F3*8%,0)</f>
        <v>18.143999999999998</v>
      </c>
      <c r="H3" s="9">
        <f t="shared" ref="H3:H10" si="2">F3-G3</f>
        <v>208.65599999999998</v>
      </c>
      <c r="I3" s="9">
        <f t="shared" ref="I3:I10" si="3">ROUND(H3,2)</f>
        <v>208.66</v>
      </c>
      <c r="J3" s="9">
        <f t="shared" ref="J3:J10" si="4">ROUNDUP(H3,0)</f>
        <v>209</v>
      </c>
      <c r="K3" s="9">
        <f t="shared" ref="K3:K10" si="5">ROUNDDOWN(H3,0)</f>
        <v>208</v>
      </c>
    </row>
    <row r="4" spans="2:11" x14ac:dyDescent="0.3">
      <c r="B4" s="7" t="s">
        <v>14</v>
      </c>
      <c r="C4" s="7" t="s">
        <v>13</v>
      </c>
      <c r="D4" s="8">
        <v>25</v>
      </c>
      <c r="E4" s="8">
        <v>3.75</v>
      </c>
      <c r="F4" s="9">
        <f t="shared" si="0"/>
        <v>93.75</v>
      </c>
      <c r="G4" s="9">
        <f t="shared" si="1"/>
        <v>7.5</v>
      </c>
      <c r="H4" s="9">
        <f t="shared" si="2"/>
        <v>86.25</v>
      </c>
      <c r="I4" s="9">
        <f t="shared" si="3"/>
        <v>86.25</v>
      </c>
      <c r="J4" s="9">
        <f t="shared" si="4"/>
        <v>87</v>
      </c>
      <c r="K4" s="9">
        <f t="shared" si="5"/>
        <v>86</v>
      </c>
    </row>
    <row r="5" spans="2:11" x14ac:dyDescent="0.3">
      <c r="B5" s="7" t="s">
        <v>15</v>
      </c>
      <c r="C5" s="7" t="s">
        <v>13</v>
      </c>
      <c r="D5" s="8">
        <v>8</v>
      </c>
      <c r="E5" s="8">
        <v>2.4</v>
      </c>
      <c r="F5" s="9">
        <f t="shared" si="0"/>
        <v>19.2</v>
      </c>
      <c r="G5" s="9">
        <f t="shared" si="1"/>
        <v>0</v>
      </c>
      <c r="H5" s="9">
        <f t="shared" si="2"/>
        <v>19.2</v>
      </c>
      <c r="I5" s="9">
        <f t="shared" si="3"/>
        <v>19.2</v>
      </c>
      <c r="J5" s="9">
        <f t="shared" si="4"/>
        <v>20</v>
      </c>
      <c r="K5" s="9">
        <f t="shared" si="5"/>
        <v>19</v>
      </c>
    </row>
    <row r="6" spans="2:11" x14ac:dyDescent="0.3">
      <c r="B6" s="7" t="s">
        <v>16</v>
      </c>
      <c r="C6" s="7" t="s">
        <v>17</v>
      </c>
      <c r="D6" s="8">
        <v>5</v>
      </c>
      <c r="E6" s="8">
        <v>45.99</v>
      </c>
      <c r="F6" s="9">
        <f t="shared" si="0"/>
        <v>229.95000000000002</v>
      </c>
      <c r="G6" s="9">
        <f t="shared" si="1"/>
        <v>0</v>
      </c>
      <c r="H6" s="9">
        <f t="shared" si="2"/>
        <v>229.95000000000002</v>
      </c>
      <c r="I6" s="9">
        <f t="shared" si="3"/>
        <v>229.95</v>
      </c>
      <c r="J6" s="9">
        <f t="shared" si="4"/>
        <v>230</v>
      </c>
      <c r="K6" s="9">
        <f t="shared" si="5"/>
        <v>229</v>
      </c>
    </row>
    <row r="7" spans="2:11" x14ac:dyDescent="0.3">
      <c r="B7" s="7" t="s">
        <v>18</v>
      </c>
      <c r="C7" s="7" t="s">
        <v>17</v>
      </c>
      <c r="D7" s="8">
        <v>3</v>
      </c>
      <c r="E7" s="8">
        <v>89.5</v>
      </c>
      <c r="F7" s="9">
        <f t="shared" si="0"/>
        <v>268.5</v>
      </c>
      <c r="G7" s="9">
        <f t="shared" si="1"/>
        <v>0</v>
      </c>
      <c r="H7" s="9">
        <f t="shared" si="2"/>
        <v>268.5</v>
      </c>
      <c r="I7" s="9">
        <f t="shared" si="3"/>
        <v>268.5</v>
      </c>
      <c r="J7" s="9">
        <f t="shared" si="4"/>
        <v>269</v>
      </c>
      <c r="K7" s="9">
        <f t="shared" si="5"/>
        <v>268</v>
      </c>
    </row>
    <row r="8" spans="2:11" x14ac:dyDescent="0.3">
      <c r="B8" s="7" t="s">
        <v>19</v>
      </c>
      <c r="C8" s="7" t="s">
        <v>17</v>
      </c>
      <c r="D8" s="8">
        <v>14</v>
      </c>
      <c r="E8" s="8">
        <v>27.35</v>
      </c>
      <c r="F8" s="9">
        <f t="shared" si="0"/>
        <v>382.90000000000003</v>
      </c>
      <c r="G8" s="9">
        <f t="shared" si="1"/>
        <v>30.632000000000005</v>
      </c>
      <c r="H8" s="9">
        <f t="shared" si="2"/>
        <v>352.26800000000003</v>
      </c>
      <c r="I8" s="9">
        <f t="shared" si="3"/>
        <v>352.27</v>
      </c>
      <c r="J8" s="9">
        <f t="shared" si="4"/>
        <v>353</v>
      </c>
      <c r="K8" s="9">
        <f t="shared" si="5"/>
        <v>352</v>
      </c>
    </row>
    <row r="9" spans="2:11" x14ac:dyDescent="0.3">
      <c r="B9" s="7" t="s">
        <v>20</v>
      </c>
      <c r="C9" s="7" t="s">
        <v>13</v>
      </c>
      <c r="D9" s="8">
        <v>10</v>
      </c>
      <c r="E9" s="8">
        <v>22.8</v>
      </c>
      <c r="F9" s="9">
        <f t="shared" si="0"/>
        <v>228</v>
      </c>
      <c r="G9" s="9">
        <f t="shared" si="1"/>
        <v>18.240000000000002</v>
      </c>
      <c r="H9" s="9">
        <f t="shared" si="2"/>
        <v>209.76</v>
      </c>
      <c r="I9" s="9">
        <f t="shared" si="3"/>
        <v>209.76</v>
      </c>
      <c r="J9" s="9">
        <f t="shared" si="4"/>
        <v>210</v>
      </c>
      <c r="K9" s="9">
        <f t="shared" si="5"/>
        <v>209</v>
      </c>
    </row>
    <row r="10" spans="2:11" x14ac:dyDescent="0.3">
      <c r="B10" s="7" t="s">
        <v>21</v>
      </c>
      <c r="C10" s="7" t="s">
        <v>22</v>
      </c>
      <c r="D10" s="8">
        <v>4</v>
      </c>
      <c r="E10" s="8">
        <v>55.6</v>
      </c>
      <c r="F10" s="9">
        <f t="shared" si="0"/>
        <v>222.4</v>
      </c>
      <c r="G10" s="9">
        <f t="shared" si="1"/>
        <v>0</v>
      </c>
      <c r="H10" s="9">
        <f t="shared" si="2"/>
        <v>222.4</v>
      </c>
      <c r="I10" s="9">
        <f t="shared" si="3"/>
        <v>222.4</v>
      </c>
      <c r="J10" s="9">
        <f t="shared" si="4"/>
        <v>223</v>
      </c>
      <c r="K10" s="9">
        <f t="shared" si="5"/>
        <v>222</v>
      </c>
    </row>
    <row r="12" spans="2:11" x14ac:dyDescent="0.3">
      <c r="B12" s="6" t="s">
        <v>23</v>
      </c>
      <c r="F12" s="8">
        <f>SUM(F3:F10)</f>
        <v>1671.5</v>
      </c>
    </row>
    <row r="13" spans="2:11" x14ac:dyDescent="0.3">
      <c r="B13" s="6" t="s">
        <v>24</v>
      </c>
      <c r="F13" s="8">
        <f>SUM(G3:G10)</f>
        <v>74.516000000000005</v>
      </c>
    </row>
    <row r="14" spans="2:11" x14ac:dyDescent="0.3">
      <c r="B14" s="6" t="s">
        <v>25</v>
      </c>
      <c r="F14" s="8">
        <f>SUM(H3:H10)</f>
        <v>1596.9840000000002</v>
      </c>
    </row>
    <row r="15" spans="2:11" x14ac:dyDescent="0.3">
      <c r="B15" s="6" t="s">
        <v>26</v>
      </c>
      <c r="F15" s="8">
        <f>AVERAGE(H3:H10)</f>
        <v>199.62300000000002</v>
      </c>
    </row>
    <row r="16" spans="2:11" x14ac:dyDescent="0.3">
      <c r="B16" s="6" t="s">
        <v>27</v>
      </c>
      <c r="F16" s="8">
        <f>SUMIF(C3:C10,"Papelaria",H3:H10)</f>
        <v>523.86599999999999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SA3_Prática</vt:lpstr>
      <vt:lpstr>Instruções</vt:lpstr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Queiroz</cp:lastModifiedBy>
  <dcterms:created xsi:type="dcterms:W3CDTF">2026-04-17T23:03:40Z</dcterms:created>
  <dcterms:modified xsi:type="dcterms:W3CDTF">2026-04-20T23:14:13Z</dcterms:modified>
</cp:coreProperties>
</file>